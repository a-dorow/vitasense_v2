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 1" sheetId="1" r:id="rId5"/>
    <sheet state="visible" name="Trial 2" sheetId="2" r:id="rId6"/>
    <sheet state="visible" name="Trial 3" sheetId="3" r:id="rId7"/>
  </sheets>
  <definedNames/>
  <calcPr/>
</workbook>
</file>

<file path=xl/sharedStrings.xml><?xml version="1.0" encoding="utf-8"?>
<sst xmlns="http://schemas.openxmlformats.org/spreadsheetml/2006/main" count="111" uniqueCount="24">
  <si>
    <t>Subject</t>
  </si>
  <si>
    <t>Trial</t>
  </si>
  <si>
    <t>iPPG_HR_bpm</t>
  </si>
  <si>
    <t>GT_HR_bpm</t>
  </si>
  <si>
    <t>GT_SpO2</t>
  </si>
  <si>
    <t>iPPG_SpO2</t>
  </si>
  <si>
    <t>Difference HR</t>
  </si>
  <si>
    <t>Excluded</t>
  </si>
  <si>
    <t>MAE</t>
  </si>
  <si>
    <t>subject_1</t>
  </si>
  <si>
    <t>NaN</t>
  </si>
  <si>
    <t>subject_2</t>
  </si>
  <si>
    <t>subject_3</t>
  </si>
  <si>
    <t>subject_4</t>
  </si>
  <si>
    <t>subject_5</t>
  </si>
  <si>
    <t>subject_6</t>
  </si>
  <si>
    <t>subject_7</t>
  </si>
  <si>
    <t>subject_8</t>
  </si>
  <si>
    <t>subject_9</t>
  </si>
  <si>
    <t>subject_10</t>
  </si>
  <si>
    <t>subject_11</t>
  </si>
  <si>
    <t>subject_12</t>
  </si>
  <si>
    <t>subject_13</t>
  </si>
  <si>
    <t>subject_14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</si>
</sst>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sz val="9.0"/>
      <color theme="1"/>
      <name val="Google Sans Mon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4" numFmtId="0" xfId="0" applyAlignment="1" applyFill="1" applyFon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>
      <c r="A2" s="1" t="s">
        <v>9</v>
      </c>
      <c r="B2" s="5">
        <v>1.0</v>
      </c>
      <c r="C2" s="5">
        <v>116.015625</v>
      </c>
      <c r="D2" s="6">
        <v>72.0</v>
      </c>
      <c r="E2" s="7">
        <v>99.0</v>
      </c>
      <c r="F2" s="8" t="s">
        <v>10</v>
      </c>
      <c r="H2" s="9">
        <f t="shared" ref="H2:H3" si="1">ABS(C2-D2)</f>
        <v>44.015625</v>
      </c>
      <c r="I2" s="10">
        <f t="array" ref="I2">SUMPRODUCT(ABS(G2:G15))/COUNT(G2:G15)</f>
        <v>8.309570313</v>
      </c>
    </row>
    <row r="3">
      <c r="A3" s="1" t="s">
        <v>11</v>
      </c>
      <c r="B3" s="5">
        <v>1.0</v>
      </c>
      <c r="C3" s="5">
        <v>42.1875</v>
      </c>
      <c r="D3" s="6">
        <v>79.0</v>
      </c>
      <c r="E3" s="7">
        <v>99.0</v>
      </c>
      <c r="F3" s="8" t="s">
        <v>10</v>
      </c>
      <c r="H3" s="9">
        <f t="shared" si="1"/>
        <v>36.8125</v>
      </c>
    </row>
    <row r="4">
      <c r="A4" s="1" t="s">
        <v>12</v>
      </c>
      <c r="B4" s="5">
        <v>1.0</v>
      </c>
      <c r="C4" s="5">
        <v>61.5234375</v>
      </c>
      <c r="D4" s="6">
        <v>60.0</v>
      </c>
      <c r="E4" s="7">
        <v>96.0</v>
      </c>
      <c r="F4" s="8" t="s">
        <v>10</v>
      </c>
      <c r="G4" s="9">
        <f t="shared" ref="G4:G5" si="2">ABS(C4-D4)</f>
        <v>1.5234375</v>
      </c>
    </row>
    <row r="5">
      <c r="A5" s="1" t="s">
        <v>13</v>
      </c>
      <c r="B5" s="5">
        <v>1.0</v>
      </c>
      <c r="C5" s="5">
        <v>70.3125</v>
      </c>
      <c r="D5" s="6">
        <v>86.0</v>
      </c>
      <c r="E5" s="7">
        <v>97.0</v>
      </c>
      <c r="F5" s="8" t="s">
        <v>10</v>
      </c>
      <c r="G5" s="9">
        <f t="shared" si="2"/>
        <v>15.6875</v>
      </c>
    </row>
    <row r="6">
      <c r="A6" s="1" t="s">
        <v>14</v>
      </c>
      <c r="B6" s="5">
        <v>1.0</v>
      </c>
      <c r="C6" s="5">
        <v>119.53125</v>
      </c>
      <c r="D6" s="6">
        <v>87.0</v>
      </c>
      <c r="E6" s="7">
        <v>98.0</v>
      </c>
      <c r="F6" s="8" t="s">
        <v>10</v>
      </c>
      <c r="H6" s="9">
        <f t="shared" ref="H6:H7" si="3">ABS(C6-D6)</f>
        <v>32.53125</v>
      </c>
    </row>
    <row r="7">
      <c r="A7" s="1" t="s">
        <v>15</v>
      </c>
      <c r="B7" s="5">
        <v>1.0</v>
      </c>
      <c r="C7" s="5">
        <v>59.765625</v>
      </c>
      <c r="D7" s="6">
        <v>90.0</v>
      </c>
      <c r="E7" s="7">
        <v>98.0</v>
      </c>
      <c r="F7" s="8" t="s">
        <v>10</v>
      </c>
      <c r="H7" s="9">
        <f t="shared" si="3"/>
        <v>30.234375</v>
      </c>
    </row>
    <row r="8">
      <c r="A8" s="1" t="s">
        <v>16</v>
      </c>
      <c r="B8" s="5">
        <v>1.0</v>
      </c>
      <c r="C8" s="5">
        <v>77.34375</v>
      </c>
      <c r="D8" s="6">
        <v>82.0</v>
      </c>
      <c r="E8" s="7">
        <v>97.0</v>
      </c>
      <c r="F8" s="8" t="s">
        <v>10</v>
      </c>
      <c r="G8" s="9">
        <f t="shared" ref="G8:G12" si="4">ABS(C8-D8)</f>
        <v>4.65625</v>
      </c>
    </row>
    <row r="9">
      <c r="A9" s="1" t="s">
        <v>17</v>
      </c>
      <c r="B9" s="5">
        <v>1.0</v>
      </c>
      <c r="C9" s="5">
        <v>56.25</v>
      </c>
      <c r="D9" s="6">
        <v>72.0</v>
      </c>
      <c r="E9" s="7">
        <v>98.0</v>
      </c>
      <c r="F9" s="8" t="s">
        <v>10</v>
      </c>
      <c r="G9" s="9">
        <f t="shared" si="4"/>
        <v>15.75</v>
      </c>
    </row>
    <row r="10">
      <c r="A10" s="1" t="s">
        <v>18</v>
      </c>
      <c r="B10" s="5">
        <v>1.0</v>
      </c>
      <c r="C10" s="5">
        <v>66.796875</v>
      </c>
      <c r="D10" s="6">
        <v>66.0</v>
      </c>
      <c r="E10" s="7">
        <v>99.0</v>
      </c>
      <c r="F10" s="8" t="s">
        <v>10</v>
      </c>
      <c r="G10" s="9">
        <f t="shared" si="4"/>
        <v>0.796875</v>
      </c>
    </row>
    <row r="11">
      <c r="A11" s="1" t="s">
        <v>19</v>
      </c>
      <c r="B11" s="5">
        <v>1.0</v>
      </c>
      <c r="C11" s="5">
        <v>56.25</v>
      </c>
      <c r="D11" s="6">
        <v>57.0</v>
      </c>
      <c r="E11" s="7">
        <v>98.0</v>
      </c>
      <c r="F11" s="8" t="s">
        <v>10</v>
      </c>
      <c r="G11" s="9">
        <f t="shared" si="4"/>
        <v>0.75</v>
      </c>
    </row>
    <row r="12">
      <c r="A12" s="1" t="s">
        <v>20</v>
      </c>
      <c r="B12" s="5">
        <v>1.0</v>
      </c>
      <c r="C12" s="5">
        <v>75.5859375</v>
      </c>
      <c r="D12" s="6">
        <v>87.0</v>
      </c>
      <c r="E12" s="7">
        <v>97.0</v>
      </c>
      <c r="F12" s="8" t="s">
        <v>10</v>
      </c>
      <c r="G12" s="9">
        <f t="shared" si="4"/>
        <v>11.4140625</v>
      </c>
    </row>
    <row r="13">
      <c r="A13" s="1" t="s">
        <v>21</v>
      </c>
      <c r="B13" s="5">
        <v>1.0</v>
      </c>
      <c r="C13" s="5">
        <v>63.28125</v>
      </c>
      <c r="D13" s="7">
        <v>97.0</v>
      </c>
      <c r="E13" s="7">
        <v>97.0</v>
      </c>
      <c r="F13" s="8" t="s">
        <v>10</v>
      </c>
      <c r="H13" s="9">
        <f t="shared" ref="H13:H14" si="5">ABS(C13-D13)</f>
        <v>33.71875</v>
      </c>
    </row>
    <row r="14">
      <c r="A14" s="1" t="s">
        <v>22</v>
      </c>
      <c r="B14" s="5">
        <v>1.0</v>
      </c>
      <c r="C14" s="5">
        <v>52.734375</v>
      </c>
      <c r="D14" s="7">
        <v>95.0</v>
      </c>
      <c r="E14" s="7">
        <v>96.0</v>
      </c>
      <c r="F14" s="8" t="s">
        <v>10</v>
      </c>
      <c r="H14" s="9">
        <f t="shared" si="5"/>
        <v>42.265625</v>
      </c>
    </row>
    <row r="15">
      <c r="A15" s="1" t="s">
        <v>23</v>
      </c>
      <c r="B15" s="5">
        <v>1.0</v>
      </c>
      <c r="C15" s="5">
        <v>79.1015625</v>
      </c>
      <c r="D15" s="7">
        <v>95.0</v>
      </c>
      <c r="E15" s="7">
        <v>97.0</v>
      </c>
      <c r="F15" s="8" t="s">
        <v>10</v>
      </c>
      <c r="G15" s="9">
        <f>ABS(C15-D15)</f>
        <v>15.8984375</v>
      </c>
    </row>
    <row r="16">
      <c r="A16" s="1"/>
      <c r="B16" s="5"/>
      <c r="C16" s="5"/>
      <c r="D16" s="5"/>
    </row>
    <row r="17">
      <c r="A17" s="1"/>
      <c r="B17" s="5"/>
      <c r="C17" s="5"/>
      <c r="D17" s="5"/>
    </row>
    <row r="18">
      <c r="A18" s="1"/>
      <c r="B18" s="5"/>
      <c r="C18" s="5"/>
      <c r="D18" s="5"/>
    </row>
    <row r="19">
      <c r="A19" s="1"/>
      <c r="B19" s="5"/>
      <c r="C19" s="5"/>
      <c r="D19" s="5"/>
    </row>
    <row r="20">
      <c r="A20" s="1"/>
      <c r="B20" s="5"/>
      <c r="C20" s="5"/>
      <c r="D20" s="5"/>
    </row>
    <row r="21">
      <c r="A21" s="1"/>
      <c r="B21" s="5"/>
      <c r="C21" s="5"/>
      <c r="D21" s="5"/>
    </row>
    <row r="22">
      <c r="A22" s="1"/>
      <c r="B22" s="5"/>
      <c r="C22" s="5"/>
      <c r="D22" s="5"/>
    </row>
    <row r="23">
      <c r="A23" s="1"/>
      <c r="B23" s="5"/>
      <c r="C23" s="5"/>
      <c r="D23" s="5"/>
    </row>
    <row r="24">
      <c r="A24" s="1"/>
      <c r="B24" s="5"/>
      <c r="C24" s="5"/>
      <c r="D24" s="5"/>
    </row>
    <row r="25">
      <c r="A25" s="1"/>
      <c r="B25" s="5"/>
      <c r="C25" s="5"/>
      <c r="D25" s="5"/>
    </row>
    <row r="26">
      <c r="A26" s="1"/>
      <c r="B26" s="5"/>
      <c r="C26" s="5"/>
      <c r="D26" s="5"/>
    </row>
    <row r="27">
      <c r="A27" s="1"/>
      <c r="B27" s="5"/>
      <c r="C27" s="5"/>
      <c r="D27" s="5"/>
    </row>
    <row r="28">
      <c r="A28" s="1"/>
      <c r="B28" s="5"/>
      <c r="C28" s="5"/>
      <c r="D28" s="5"/>
    </row>
    <row r="29">
      <c r="A29" s="1"/>
      <c r="B29" s="5"/>
      <c r="C29" s="5"/>
      <c r="D29" s="5"/>
    </row>
    <row r="30">
      <c r="A30" s="1"/>
      <c r="B30" s="5"/>
      <c r="C30" s="5"/>
      <c r="D30" s="5"/>
    </row>
    <row r="31">
      <c r="A31" s="1"/>
      <c r="B31" s="5"/>
      <c r="C31" s="5"/>
      <c r="D31" s="5"/>
    </row>
    <row r="32">
      <c r="A32" s="1"/>
      <c r="B32" s="5"/>
      <c r="C32" s="5"/>
      <c r="D32" s="5"/>
    </row>
    <row r="33">
      <c r="A33" s="1"/>
      <c r="B33" s="5"/>
      <c r="C33" s="5"/>
      <c r="D33" s="5"/>
    </row>
    <row r="34">
      <c r="A34" s="1"/>
      <c r="B34" s="5"/>
      <c r="C34" s="5"/>
      <c r="D34" s="5"/>
    </row>
    <row r="35">
      <c r="A35" s="1"/>
      <c r="B35" s="5"/>
      <c r="C35" s="5"/>
      <c r="D35" s="5"/>
    </row>
    <row r="36">
      <c r="A36" s="1"/>
      <c r="B36" s="5"/>
      <c r="C36" s="5"/>
      <c r="D36" s="5"/>
    </row>
    <row r="37">
      <c r="A37" s="1"/>
      <c r="B37" s="5"/>
      <c r="C37" s="5"/>
      <c r="D37" s="5"/>
    </row>
    <row r="38">
      <c r="A38" s="1"/>
      <c r="B38" s="5"/>
      <c r="C38" s="5"/>
      <c r="D38" s="5"/>
    </row>
    <row r="39">
      <c r="A39" s="1"/>
      <c r="B39" s="5"/>
      <c r="C39" s="5"/>
      <c r="D39" s="5"/>
    </row>
    <row r="40">
      <c r="A40" s="1"/>
      <c r="B40" s="5"/>
      <c r="C40" s="5"/>
      <c r="D40" s="5"/>
    </row>
    <row r="41">
      <c r="A41" s="1"/>
      <c r="B41" s="5"/>
      <c r="C41" s="5"/>
      <c r="D41" s="5"/>
    </row>
    <row r="42">
      <c r="A42" s="1"/>
      <c r="B42" s="5"/>
      <c r="C42" s="5"/>
      <c r="D42" s="5"/>
    </row>
    <row r="43">
      <c r="A43" s="1"/>
      <c r="B43" s="5"/>
      <c r="C43" s="5"/>
      <c r="D43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>
      <c r="A2" s="1" t="s">
        <v>9</v>
      </c>
      <c r="B2" s="5">
        <v>2.0</v>
      </c>
      <c r="C2" s="5">
        <v>101.953125</v>
      </c>
      <c r="D2" s="7">
        <v>68.0</v>
      </c>
      <c r="E2" s="11">
        <v>99.0</v>
      </c>
      <c r="F2" s="8" t="s">
        <v>10</v>
      </c>
      <c r="H2" s="9">
        <f t="shared" ref="H2:H3" si="1">ABS(C2-D2)</f>
        <v>33.953125</v>
      </c>
      <c r="I2" s="10">
        <f t="array" ref="I2">SUMPRODUCT(ABS(G2:G15))/COUNT(G2:G15)</f>
        <v>4.991210938</v>
      </c>
    </row>
    <row r="3">
      <c r="A3" s="1" t="s">
        <v>11</v>
      </c>
      <c r="B3" s="5">
        <v>2.0</v>
      </c>
      <c r="C3" s="5">
        <v>123.046875</v>
      </c>
      <c r="D3" s="7">
        <v>75.0</v>
      </c>
      <c r="E3" s="11">
        <v>99.0</v>
      </c>
      <c r="F3" s="8" t="s">
        <v>10</v>
      </c>
      <c r="H3" s="9">
        <f t="shared" si="1"/>
        <v>48.046875</v>
      </c>
    </row>
    <row r="4">
      <c r="A4" s="1" t="s">
        <v>12</v>
      </c>
      <c r="B4" s="5">
        <v>2.0</v>
      </c>
      <c r="C4" s="5">
        <v>49.21875</v>
      </c>
      <c r="D4" s="7">
        <v>59.0</v>
      </c>
      <c r="E4" s="11">
        <v>98.0</v>
      </c>
      <c r="F4" s="8" t="s">
        <v>10</v>
      </c>
      <c r="G4" s="9">
        <f t="shared" ref="G4:G6" si="2">ABS(C4-D4)</f>
        <v>9.78125</v>
      </c>
    </row>
    <row r="5">
      <c r="A5" s="1" t="s">
        <v>13</v>
      </c>
      <c r="B5" s="5">
        <v>2.0</v>
      </c>
      <c r="C5" s="5">
        <v>89.6484375</v>
      </c>
      <c r="D5" s="7">
        <v>84.0</v>
      </c>
      <c r="E5" s="11">
        <v>97.0</v>
      </c>
      <c r="F5" s="8" t="s">
        <v>10</v>
      </c>
      <c r="G5" s="9">
        <f t="shared" si="2"/>
        <v>5.6484375</v>
      </c>
    </row>
    <row r="6">
      <c r="A6" s="1" t="s">
        <v>14</v>
      </c>
      <c r="B6" s="5">
        <v>2.0</v>
      </c>
      <c r="C6" s="5">
        <v>77.34375</v>
      </c>
      <c r="D6" s="7">
        <v>84.0</v>
      </c>
      <c r="E6" s="11">
        <v>98.0</v>
      </c>
      <c r="F6" s="8" t="s">
        <v>10</v>
      </c>
      <c r="G6" s="9">
        <f t="shared" si="2"/>
        <v>6.65625</v>
      </c>
    </row>
    <row r="7">
      <c r="A7" s="1" t="s">
        <v>15</v>
      </c>
      <c r="B7" s="5">
        <v>2.0</v>
      </c>
      <c r="C7" s="5">
        <v>63.28125</v>
      </c>
      <c r="D7" s="7">
        <v>90.0</v>
      </c>
      <c r="E7" s="11">
        <v>98.0</v>
      </c>
      <c r="F7" s="8" t="s">
        <v>10</v>
      </c>
      <c r="H7" s="9">
        <f t="shared" ref="H7:H8" si="3">ABS(C7-D7)</f>
        <v>26.71875</v>
      </c>
    </row>
    <row r="8">
      <c r="A8" s="1" t="s">
        <v>16</v>
      </c>
      <c r="B8" s="5">
        <v>2.0</v>
      </c>
      <c r="C8" s="5">
        <v>63.28125</v>
      </c>
      <c r="D8" s="7">
        <v>90.0</v>
      </c>
      <c r="E8" s="11">
        <v>97.0</v>
      </c>
      <c r="F8" s="8" t="s">
        <v>10</v>
      </c>
      <c r="H8" s="9">
        <f t="shared" si="3"/>
        <v>26.71875</v>
      </c>
    </row>
    <row r="9">
      <c r="A9" s="1" t="s">
        <v>17</v>
      </c>
      <c r="B9" s="5">
        <v>2.0</v>
      </c>
      <c r="C9" s="5">
        <v>72.0703125</v>
      </c>
      <c r="D9" s="7">
        <v>75.0</v>
      </c>
      <c r="E9" s="11">
        <v>98.0</v>
      </c>
      <c r="F9" s="8" t="s">
        <v>10</v>
      </c>
      <c r="G9" s="9">
        <f t="shared" ref="G9:G11" si="4">ABS(C9-D9)</f>
        <v>2.9296875</v>
      </c>
    </row>
    <row r="10">
      <c r="A10" s="1" t="s">
        <v>18</v>
      </c>
      <c r="B10" s="5">
        <v>2.0</v>
      </c>
      <c r="C10" s="5">
        <v>68.5546875</v>
      </c>
      <c r="D10" s="7">
        <v>71.0</v>
      </c>
      <c r="E10" s="11">
        <v>98.0</v>
      </c>
      <c r="F10" s="8" t="s">
        <v>10</v>
      </c>
      <c r="G10" s="9">
        <f t="shared" si="4"/>
        <v>2.4453125</v>
      </c>
    </row>
    <row r="11">
      <c r="A11" s="1" t="s">
        <v>19</v>
      </c>
      <c r="B11" s="5">
        <v>2.0</v>
      </c>
      <c r="C11" s="5">
        <v>61.5234375</v>
      </c>
      <c r="D11" s="7">
        <v>60.0</v>
      </c>
      <c r="E11" s="11">
        <v>98.0</v>
      </c>
      <c r="F11" s="8" t="s">
        <v>10</v>
      </c>
      <c r="G11" s="9">
        <f t="shared" si="4"/>
        <v>1.5234375</v>
      </c>
    </row>
    <row r="12">
      <c r="A12" s="1" t="s">
        <v>20</v>
      </c>
      <c r="B12" s="5">
        <v>2.0</v>
      </c>
      <c r="C12" s="5">
        <v>151.171875</v>
      </c>
      <c r="D12" s="7">
        <v>90.0</v>
      </c>
      <c r="E12" s="11">
        <v>96.0</v>
      </c>
      <c r="F12" s="8" t="s">
        <v>10</v>
      </c>
      <c r="H12" s="9">
        <f>ABS(C12-D12)</f>
        <v>61.171875</v>
      </c>
    </row>
    <row r="13">
      <c r="A13" s="1" t="s">
        <v>21</v>
      </c>
      <c r="B13" s="5">
        <v>2.0</v>
      </c>
      <c r="C13" s="5">
        <v>93.1640625</v>
      </c>
      <c r="D13" s="7">
        <v>97.0</v>
      </c>
      <c r="E13" s="11">
        <v>97.0</v>
      </c>
      <c r="F13" s="8" t="s">
        <v>10</v>
      </c>
      <c r="G13" s="9">
        <f t="shared" ref="G13:G14" si="5">ABS(C13-D13)</f>
        <v>3.8359375</v>
      </c>
    </row>
    <row r="14">
      <c r="A14" s="1" t="s">
        <v>22</v>
      </c>
      <c r="B14" s="5">
        <v>2.0</v>
      </c>
      <c r="C14" s="5">
        <v>87.890625</v>
      </c>
      <c r="D14" s="7">
        <v>95.0</v>
      </c>
      <c r="E14" s="11">
        <v>96.0</v>
      </c>
      <c r="F14" s="8" t="s">
        <v>10</v>
      </c>
      <c r="G14" s="9">
        <f t="shared" si="5"/>
        <v>7.109375</v>
      </c>
    </row>
    <row r="15">
      <c r="A15" s="1" t="s">
        <v>23</v>
      </c>
      <c r="B15" s="5">
        <v>2.0</v>
      </c>
      <c r="C15" s="5">
        <v>63.28125</v>
      </c>
      <c r="D15" s="7">
        <v>89.0</v>
      </c>
      <c r="E15" s="11">
        <v>98.0</v>
      </c>
      <c r="F15" s="8" t="s">
        <v>10</v>
      </c>
      <c r="H15" s="9">
        <f>ABS(C15-D15)</f>
        <v>25.71875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>
      <c r="A2" s="1" t="s">
        <v>9</v>
      </c>
      <c r="B2" s="5">
        <v>3.0</v>
      </c>
      <c r="C2" s="5">
        <v>75.5859375</v>
      </c>
      <c r="D2" s="7">
        <v>71.0</v>
      </c>
      <c r="E2" s="11">
        <v>99.0</v>
      </c>
      <c r="F2" s="8" t="s">
        <v>10</v>
      </c>
      <c r="G2" s="9">
        <f>ABS(C2-D2)</f>
        <v>4.5859375</v>
      </c>
      <c r="I2" s="10">
        <f t="array" ref="I2">SUMPRODUCT(ABS(G2:G15))/COUNT(G2:G15)</f>
        <v>3.6078125</v>
      </c>
    </row>
    <row r="3">
      <c r="A3" s="1" t="s">
        <v>11</v>
      </c>
      <c r="B3" s="5">
        <v>3.0</v>
      </c>
      <c r="C3" s="5">
        <v>47.4609375</v>
      </c>
      <c r="D3" s="7">
        <v>77.0</v>
      </c>
      <c r="E3" s="11">
        <v>99.0</v>
      </c>
      <c r="F3" s="8" t="s">
        <v>10</v>
      </c>
      <c r="H3" s="9">
        <f>ABS(C3-D3)</f>
        <v>29.5390625</v>
      </c>
    </row>
    <row r="4">
      <c r="A4" s="1" t="s">
        <v>12</v>
      </c>
      <c r="B4" s="5">
        <v>3.0</v>
      </c>
      <c r="C4" s="5">
        <v>63.28125</v>
      </c>
      <c r="D4" s="7">
        <v>66.0</v>
      </c>
      <c r="E4" s="11">
        <v>96.0</v>
      </c>
      <c r="F4" s="8" t="s">
        <v>10</v>
      </c>
      <c r="G4" s="9">
        <f>ABS(C4-D4)</f>
        <v>2.71875</v>
      </c>
    </row>
    <row r="5">
      <c r="A5" s="1" t="s">
        <v>13</v>
      </c>
      <c r="B5" s="5">
        <v>3.0</v>
      </c>
      <c r="C5" s="5">
        <v>63.28125</v>
      </c>
      <c r="D5" s="7">
        <v>87.0</v>
      </c>
      <c r="E5" s="11">
        <v>97.0</v>
      </c>
      <c r="F5" s="8" t="s">
        <v>10</v>
      </c>
      <c r="H5" s="9">
        <f>ABS(C5-D5)</f>
        <v>23.71875</v>
      </c>
    </row>
    <row r="6">
      <c r="A6" s="1" t="s">
        <v>14</v>
      </c>
      <c r="B6" s="5">
        <v>3.0</v>
      </c>
      <c r="C6" s="5">
        <v>73.828125</v>
      </c>
      <c r="D6" s="7">
        <v>78.0</v>
      </c>
      <c r="E6" s="11">
        <v>98.0</v>
      </c>
      <c r="F6" s="8" t="s">
        <v>10</v>
      </c>
      <c r="G6" s="9">
        <f>ABS(C6-D6)</f>
        <v>4.171875</v>
      </c>
    </row>
    <row r="7">
      <c r="A7" s="1" t="s">
        <v>15</v>
      </c>
      <c r="B7" s="5">
        <v>3.0</v>
      </c>
      <c r="C7" s="5">
        <v>63.28125</v>
      </c>
      <c r="D7" s="7">
        <v>90.0</v>
      </c>
      <c r="E7" s="11">
        <v>97.0</v>
      </c>
      <c r="F7" s="8" t="s">
        <v>10</v>
      </c>
      <c r="H7" s="9">
        <f>ABS(C7-D7)</f>
        <v>26.71875</v>
      </c>
    </row>
    <row r="8">
      <c r="A8" s="1" t="s">
        <v>16</v>
      </c>
      <c r="B8" s="5">
        <v>3.0</v>
      </c>
      <c r="C8" s="5">
        <v>84.375</v>
      </c>
      <c r="D8" s="7">
        <v>86.0</v>
      </c>
      <c r="E8" s="11">
        <v>97.0</v>
      </c>
      <c r="F8" s="8" t="s">
        <v>10</v>
      </c>
      <c r="G8" s="9">
        <f t="shared" ref="G8:G13" si="1">ABS(C8-D8)</f>
        <v>1.625</v>
      </c>
    </row>
    <row r="9">
      <c r="A9" s="1" t="s">
        <v>17</v>
      </c>
      <c r="B9" s="5">
        <v>3.0</v>
      </c>
      <c r="C9" s="5">
        <v>73.828125</v>
      </c>
      <c r="D9" s="7">
        <v>72.0</v>
      </c>
      <c r="E9" s="11">
        <v>98.0</v>
      </c>
      <c r="F9" s="8" t="s">
        <v>10</v>
      </c>
      <c r="G9" s="9">
        <f t="shared" si="1"/>
        <v>1.828125</v>
      </c>
    </row>
    <row r="10">
      <c r="A10" s="1" t="s">
        <v>18</v>
      </c>
      <c r="B10" s="5">
        <v>3.0</v>
      </c>
      <c r="C10" s="5">
        <v>70.3125</v>
      </c>
      <c r="D10" s="7">
        <v>70.0</v>
      </c>
      <c r="E10" s="11">
        <v>98.0</v>
      </c>
      <c r="F10" s="8" t="s">
        <v>10</v>
      </c>
      <c r="G10" s="9">
        <f t="shared" si="1"/>
        <v>0.3125</v>
      </c>
    </row>
    <row r="11">
      <c r="A11" s="1" t="s">
        <v>19</v>
      </c>
      <c r="B11" s="5">
        <v>3.0</v>
      </c>
      <c r="C11" s="5">
        <v>56.25</v>
      </c>
      <c r="D11" s="7">
        <v>58.0</v>
      </c>
      <c r="E11" s="11">
        <v>98.0</v>
      </c>
      <c r="F11" s="8" t="s">
        <v>10</v>
      </c>
      <c r="G11" s="9">
        <f t="shared" si="1"/>
        <v>1.75</v>
      </c>
    </row>
    <row r="12">
      <c r="A12" s="1" t="s">
        <v>20</v>
      </c>
      <c r="B12" s="5">
        <v>3.0</v>
      </c>
      <c r="C12" s="5">
        <v>87.890625</v>
      </c>
      <c r="D12" s="7">
        <v>90.0</v>
      </c>
      <c r="E12" s="11">
        <v>97.0</v>
      </c>
      <c r="F12" s="8" t="s">
        <v>10</v>
      </c>
      <c r="G12" s="9">
        <f t="shared" si="1"/>
        <v>2.109375</v>
      </c>
    </row>
    <row r="13">
      <c r="A13" s="1" t="s">
        <v>21</v>
      </c>
      <c r="B13" s="5">
        <v>3.0</v>
      </c>
      <c r="C13" s="5">
        <v>84.375</v>
      </c>
      <c r="D13" s="7">
        <v>97.0</v>
      </c>
      <c r="E13" s="11">
        <v>97.0</v>
      </c>
      <c r="F13" s="8" t="s">
        <v>10</v>
      </c>
      <c r="G13" s="9">
        <f t="shared" si="1"/>
        <v>12.625</v>
      </c>
    </row>
    <row r="14">
      <c r="A14" s="1" t="s">
        <v>22</v>
      </c>
      <c r="B14" s="5">
        <v>3.0</v>
      </c>
      <c r="C14" s="5">
        <v>59.765625</v>
      </c>
      <c r="D14" s="7">
        <v>94.0</v>
      </c>
      <c r="E14" s="11">
        <v>95.0</v>
      </c>
      <c r="F14" s="8" t="s">
        <v>10</v>
      </c>
      <c r="H14" s="9">
        <f>ABS(C14-D14)</f>
        <v>34.234375</v>
      </c>
    </row>
    <row r="15">
      <c r="A15" s="1" t="s">
        <v>23</v>
      </c>
      <c r="B15" s="5">
        <v>3.0</v>
      </c>
      <c r="C15" s="5">
        <v>89.6484375</v>
      </c>
      <c r="D15" s="7">
        <v>94.0</v>
      </c>
      <c r="E15" s="11">
        <v>98.0</v>
      </c>
      <c r="F15" s="8" t="s">
        <v>10</v>
      </c>
      <c r="G15" s="9">
        <f>ABS(C15-D15)</f>
        <v>4.3515625</v>
      </c>
    </row>
  </sheetData>
  <drawing r:id="rId1"/>
</worksheet>
</file>