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1" sheetId="1" r:id="rId5"/>
    <sheet state="visible" name="Trial 2" sheetId="2" r:id="rId6"/>
    <sheet state="visible" name="Trial 3" sheetId="3" r:id="rId7"/>
  </sheets>
  <definedNames/>
  <calcPr/>
</workbook>
</file>

<file path=xl/sharedStrings.xml><?xml version="1.0" encoding="utf-8"?>
<sst xmlns="http://schemas.openxmlformats.org/spreadsheetml/2006/main" count="69" uniqueCount="25">
  <si>
    <t>Subject</t>
  </si>
  <si>
    <t>Trial</t>
  </si>
  <si>
    <t>iPPG_HR_bpm</t>
  </si>
  <si>
    <t>GT_HR_bpm</t>
  </si>
  <si>
    <t>GT_SpO2</t>
  </si>
  <si>
    <t>iPPG_SpO2</t>
  </si>
  <si>
    <t>HR Difference</t>
  </si>
  <si>
    <t>Difference HR</t>
  </si>
  <si>
    <t>Exc;uded</t>
  </si>
  <si>
    <t>MAE</t>
  </si>
  <si>
    <t>subject_1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</si>
  <si>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</si>
  <si>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</si>
  <si>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</si>
  <si>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</si>
  <si>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</si>
  <si>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</si>
  <si>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</si>
  <si>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</si>
  <si>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</si>
  <si>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</si>
  <si>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</si>
  <si>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</si>
  <si>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</si>
  <si>
    <t>Excluded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</si>
</sst>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9.0"/>
      <color theme="1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2" fontId="4" numFmtId="0" xfId="0" applyAlignment="1" applyFill="1" applyFont="1">
      <alignment horizontal="right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7" max="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>
      <c r="A2" s="3" t="s">
        <v>10</v>
      </c>
      <c r="B2" s="4">
        <v>1.0</v>
      </c>
      <c r="C2" s="4">
        <v>63.0</v>
      </c>
      <c r="D2" s="5">
        <v>72.0</v>
      </c>
      <c r="E2" s="4">
        <v>99.0</v>
      </c>
      <c r="F2" s="4">
        <v>99.0</v>
      </c>
      <c r="G2" s="6">
        <f>abs(D2-C2)</f>
        <v>9</v>
      </c>
      <c r="H2" s="6">
        <f t="shared" ref="H2:H5" si="1">ABS(D2-C2)</f>
        <v>9</v>
      </c>
      <c r="J2" s="7">
        <f t="array" ref="J2">SUMPRODUCT(ABS(H2:H15))/COUNT(H2:H15)</f>
        <v>4.4</v>
      </c>
    </row>
    <row r="3">
      <c r="A3" s="3" t="s">
        <v>11</v>
      </c>
      <c r="B3" s="4">
        <v>1.0</v>
      </c>
      <c r="C3" s="4">
        <v>91.0</v>
      </c>
      <c r="D3" s="5">
        <v>79.0</v>
      </c>
      <c r="E3" s="4">
        <v>99.0</v>
      </c>
      <c r="F3" s="4">
        <v>98.0</v>
      </c>
      <c r="H3" s="6">
        <f t="shared" si="1"/>
        <v>12</v>
      </c>
    </row>
    <row r="4">
      <c r="A4" s="3" t="s">
        <v>12</v>
      </c>
      <c r="B4" s="4">
        <v>1.0</v>
      </c>
      <c r="C4" s="4">
        <v>61.0</v>
      </c>
      <c r="D4" s="5">
        <v>60.0</v>
      </c>
      <c r="E4" s="4">
        <v>96.0</v>
      </c>
      <c r="F4" s="4">
        <v>98.0</v>
      </c>
      <c r="H4" s="6">
        <f t="shared" si="1"/>
        <v>1</v>
      </c>
    </row>
    <row r="5">
      <c r="A5" s="3" t="s">
        <v>13</v>
      </c>
      <c r="B5" s="4">
        <v>1.0</v>
      </c>
      <c r="C5" s="4">
        <v>87.0</v>
      </c>
      <c r="D5" s="5">
        <v>86.0</v>
      </c>
      <c r="E5" s="4">
        <v>97.0</v>
      </c>
      <c r="F5" s="4">
        <v>97.0</v>
      </c>
      <c r="H5" s="6">
        <f t="shared" si="1"/>
        <v>1</v>
      </c>
    </row>
    <row r="6">
      <c r="A6" s="3" t="s">
        <v>14</v>
      </c>
      <c r="B6" s="4">
        <v>1.0</v>
      </c>
      <c r="C6" s="4">
        <v>42.0</v>
      </c>
      <c r="D6" s="5">
        <v>87.0</v>
      </c>
      <c r="E6" s="4">
        <v>98.0</v>
      </c>
      <c r="F6" s="4">
        <v>97.0</v>
      </c>
      <c r="I6" s="6">
        <f>ABS(D6-C6)</f>
        <v>45</v>
      </c>
    </row>
    <row r="7">
      <c r="A7" s="3" t="s">
        <v>15</v>
      </c>
      <c r="B7" s="4">
        <v>1.0</v>
      </c>
      <c r="C7" s="4">
        <v>87.0</v>
      </c>
      <c r="D7" s="5">
        <v>90.0</v>
      </c>
      <c r="E7" s="4">
        <v>98.0</v>
      </c>
      <c r="F7" s="4">
        <v>97.0</v>
      </c>
      <c r="H7" s="6">
        <f t="shared" ref="H7:H12" si="2">ABS(D7-C7)</f>
        <v>3</v>
      </c>
    </row>
    <row r="8">
      <c r="A8" s="3" t="s">
        <v>16</v>
      </c>
      <c r="B8" s="4">
        <v>1.0</v>
      </c>
      <c r="C8" s="4">
        <v>84.0</v>
      </c>
      <c r="D8" s="5">
        <v>82.0</v>
      </c>
      <c r="E8" s="4">
        <v>97.0</v>
      </c>
      <c r="F8" s="4">
        <v>96.0</v>
      </c>
      <c r="H8" s="6">
        <f t="shared" si="2"/>
        <v>2</v>
      </c>
    </row>
    <row r="9">
      <c r="A9" s="3" t="s">
        <v>17</v>
      </c>
      <c r="B9" s="4">
        <v>1.0</v>
      </c>
      <c r="C9" s="4">
        <v>73.0</v>
      </c>
      <c r="D9" s="5">
        <v>72.0</v>
      </c>
      <c r="E9" s="4">
        <v>98.0</v>
      </c>
      <c r="F9" s="4">
        <v>98.0</v>
      </c>
      <c r="H9" s="6">
        <f t="shared" si="2"/>
        <v>1</v>
      </c>
    </row>
    <row r="10">
      <c r="A10" s="3" t="s">
        <v>18</v>
      </c>
      <c r="B10" s="4">
        <v>1.0</v>
      </c>
      <c r="C10" s="4">
        <v>66.0</v>
      </c>
      <c r="D10" s="5">
        <v>66.0</v>
      </c>
      <c r="E10" s="4">
        <v>99.0</v>
      </c>
      <c r="F10" s="4">
        <v>98.0</v>
      </c>
      <c r="H10" s="6">
        <f t="shared" si="2"/>
        <v>0</v>
      </c>
    </row>
    <row r="11">
      <c r="A11" s="3" t="s">
        <v>19</v>
      </c>
      <c r="B11" s="4">
        <v>1.0</v>
      </c>
      <c r="C11" s="4">
        <v>65.0</v>
      </c>
      <c r="D11" s="5">
        <v>57.0</v>
      </c>
      <c r="E11" s="4">
        <v>98.0</v>
      </c>
      <c r="F11" s="4">
        <v>97.0</v>
      </c>
      <c r="H11" s="6">
        <f t="shared" si="2"/>
        <v>8</v>
      </c>
    </row>
    <row r="12">
      <c r="A12" s="3" t="s">
        <v>20</v>
      </c>
      <c r="B12" s="4">
        <v>1.0</v>
      </c>
      <c r="C12" s="4">
        <v>80.0</v>
      </c>
      <c r="D12" s="5">
        <v>87.0</v>
      </c>
      <c r="E12" s="4">
        <v>97.0</v>
      </c>
      <c r="F12" s="4">
        <v>96.0</v>
      </c>
      <c r="H12" s="6">
        <f t="shared" si="2"/>
        <v>7</v>
      </c>
    </row>
    <row r="13">
      <c r="A13" s="3" t="s">
        <v>21</v>
      </c>
      <c r="B13" s="4">
        <v>1.0</v>
      </c>
      <c r="C13" s="4">
        <v>66.8</v>
      </c>
      <c r="D13" s="4">
        <v>97.0</v>
      </c>
      <c r="E13" s="4">
        <v>97.0</v>
      </c>
      <c r="F13" s="4">
        <v>95.0</v>
      </c>
      <c r="I13" s="6">
        <f t="shared" ref="I13:I14" si="3">ABS(D13-C13)</f>
        <v>30.2</v>
      </c>
    </row>
    <row r="14">
      <c r="A14" s="3" t="s">
        <v>22</v>
      </c>
      <c r="B14" s="4">
        <v>1.0</v>
      </c>
      <c r="C14" s="4">
        <v>75.59</v>
      </c>
      <c r="D14" s="4">
        <v>95.0</v>
      </c>
      <c r="E14" s="4">
        <v>96.0</v>
      </c>
      <c r="F14" s="4">
        <v>97.0</v>
      </c>
      <c r="I14" s="6">
        <f t="shared" si="3"/>
        <v>19.41</v>
      </c>
    </row>
    <row r="15">
      <c r="A15" s="3" t="s">
        <v>23</v>
      </c>
      <c r="B15" s="4">
        <v>1.0</v>
      </c>
      <c r="C15" s="4">
        <v>42.19</v>
      </c>
      <c r="D15" s="4">
        <v>95.0</v>
      </c>
      <c r="E15" s="4">
        <v>97.0</v>
      </c>
      <c r="F15" s="4">
        <v>97.0</v>
      </c>
      <c r="I15" s="2">
        <v>52.81</v>
      </c>
    </row>
    <row r="16">
      <c r="F1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7</v>
      </c>
      <c r="H1" s="2" t="s">
        <v>24</v>
      </c>
      <c r="I1" s="1" t="s">
        <v>9</v>
      </c>
    </row>
    <row r="2">
      <c r="A2" s="3" t="s">
        <v>10</v>
      </c>
      <c r="B2" s="4">
        <v>2.0</v>
      </c>
      <c r="C2" s="4">
        <v>107.0</v>
      </c>
      <c r="D2" s="4">
        <v>68.0</v>
      </c>
      <c r="E2" s="2">
        <v>99.0</v>
      </c>
      <c r="F2" s="2">
        <v>96.0</v>
      </c>
      <c r="H2" s="6">
        <f t="shared" ref="H2:H3" si="1">ABS(C2-D2)</f>
        <v>39</v>
      </c>
      <c r="I2" s="7">
        <f t="array" ref="I2">SUMPRODUCT(ABS(G2:G15))/COUNT(G2:G15)</f>
        <v>4.313333333</v>
      </c>
    </row>
    <row r="3">
      <c r="A3" s="3" t="s">
        <v>11</v>
      </c>
      <c r="B3" s="4">
        <v>2.0</v>
      </c>
      <c r="C3" s="4">
        <v>56.0</v>
      </c>
      <c r="D3" s="4">
        <v>75.0</v>
      </c>
      <c r="E3" s="2">
        <v>99.0</v>
      </c>
      <c r="F3" s="2">
        <v>98.0</v>
      </c>
      <c r="H3" s="6">
        <f t="shared" si="1"/>
        <v>19</v>
      </c>
    </row>
    <row r="4">
      <c r="A4" s="3" t="s">
        <v>12</v>
      </c>
      <c r="B4" s="4">
        <v>2.0</v>
      </c>
      <c r="C4" s="4">
        <v>50.0</v>
      </c>
      <c r="D4" s="4">
        <v>59.0</v>
      </c>
      <c r="E4" s="2">
        <v>98.0</v>
      </c>
      <c r="F4" s="2">
        <v>94.0</v>
      </c>
      <c r="G4" s="6">
        <f t="shared" ref="G4:G5" si="2">ABS(C4-D4)</f>
        <v>9</v>
      </c>
    </row>
    <row r="5">
      <c r="A5" s="3" t="s">
        <v>13</v>
      </c>
      <c r="B5" s="4">
        <v>2.0</v>
      </c>
      <c r="C5" s="4">
        <v>87.8</v>
      </c>
      <c r="D5" s="4">
        <v>84.0</v>
      </c>
      <c r="E5" s="2">
        <v>97.0</v>
      </c>
      <c r="F5" s="2">
        <v>95.0</v>
      </c>
      <c r="G5" s="6">
        <f t="shared" si="2"/>
        <v>3.8</v>
      </c>
    </row>
    <row r="6">
      <c r="A6" s="3" t="s">
        <v>14</v>
      </c>
      <c r="B6" s="4">
        <v>2.0</v>
      </c>
      <c r="C6" s="4">
        <v>59.0</v>
      </c>
      <c r="D6" s="4">
        <v>84.0</v>
      </c>
      <c r="E6" s="2">
        <v>98.0</v>
      </c>
      <c r="F6" s="2">
        <v>97.0</v>
      </c>
      <c r="H6" s="6">
        <f t="shared" ref="H6:H8" si="3">ABS(C6-D6)</f>
        <v>25</v>
      </c>
    </row>
    <row r="7">
      <c r="A7" s="3" t="s">
        <v>15</v>
      </c>
      <c r="B7" s="4">
        <v>2.0</v>
      </c>
      <c r="C7" s="4">
        <v>49.0</v>
      </c>
      <c r="D7" s="4">
        <v>90.0</v>
      </c>
      <c r="E7" s="2">
        <v>98.0</v>
      </c>
      <c r="F7" s="2">
        <v>96.0</v>
      </c>
      <c r="H7" s="6">
        <f t="shared" si="3"/>
        <v>41</v>
      </c>
    </row>
    <row r="8">
      <c r="A8" s="3" t="s">
        <v>16</v>
      </c>
      <c r="B8" s="4">
        <v>2.0</v>
      </c>
      <c r="C8" s="4">
        <v>50.0</v>
      </c>
      <c r="D8" s="4">
        <v>90.0</v>
      </c>
      <c r="E8" s="2">
        <v>97.0</v>
      </c>
      <c r="F8" s="2">
        <v>98.0</v>
      </c>
      <c r="H8" s="6">
        <f t="shared" si="3"/>
        <v>40</v>
      </c>
    </row>
    <row r="9">
      <c r="A9" s="3" t="s">
        <v>17</v>
      </c>
      <c r="B9" s="4">
        <v>2.0</v>
      </c>
      <c r="C9" s="4">
        <v>73.0</v>
      </c>
      <c r="D9" s="4">
        <v>75.0</v>
      </c>
      <c r="E9" s="2">
        <v>98.0</v>
      </c>
      <c r="F9" s="2">
        <v>97.0</v>
      </c>
      <c r="G9" s="6">
        <f t="shared" ref="G9:G11" si="4">ABS(C9-D9)</f>
        <v>2</v>
      </c>
    </row>
    <row r="10">
      <c r="A10" s="3" t="s">
        <v>18</v>
      </c>
      <c r="B10" s="4">
        <v>2.0</v>
      </c>
      <c r="C10" s="4">
        <v>66.7</v>
      </c>
      <c r="D10" s="4">
        <v>71.0</v>
      </c>
      <c r="E10" s="2">
        <v>98.0</v>
      </c>
      <c r="F10" s="2">
        <v>95.0</v>
      </c>
      <c r="G10" s="6">
        <f t="shared" si="4"/>
        <v>4.3</v>
      </c>
    </row>
    <row r="11">
      <c r="A11" s="3" t="s">
        <v>19</v>
      </c>
      <c r="B11" s="4">
        <v>2.0</v>
      </c>
      <c r="C11" s="4">
        <v>66.7</v>
      </c>
      <c r="D11" s="4">
        <v>60.0</v>
      </c>
      <c r="E11" s="2">
        <v>98.0</v>
      </c>
      <c r="F11" s="2">
        <v>97.0</v>
      </c>
      <c r="G11" s="6">
        <f t="shared" si="4"/>
        <v>6.7</v>
      </c>
    </row>
    <row r="12">
      <c r="A12" s="3" t="s">
        <v>20</v>
      </c>
      <c r="B12" s="4">
        <v>2.0</v>
      </c>
      <c r="C12" s="4">
        <v>59.0</v>
      </c>
      <c r="D12" s="4">
        <v>90.0</v>
      </c>
      <c r="E12" s="2">
        <v>96.0</v>
      </c>
      <c r="F12" s="2">
        <v>97.0</v>
      </c>
      <c r="H12" s="6">
        <f t="shared" ref="H12:H13" si="5">ABS(C12-D12)</f>
        <v>31</v>
      </c>
    </row>
    <row r="13">
      <c r="A13" s="3" t="s">
        <v>21</v>
      </c>
      <c r="B13" s="4">
        <v>2.0</v>
      </c>
      <c r="C13" s="4">
        <v>63.28</v>
      </c>
      <c r="D13" s="4">
        <v>97.0</v>
      </c>
      <c r="E13" s="2">
        <v>97.0</v>
      </c>
      <c r="F13" s="2">
        <v>97.0</v>
      </c>
      <c r="H13" s="6">
        <f t="shared" si="5"/>
        <v>33.72</v>
      </c>
    </row>
    <row r="14">
      <c r="A14" s="3" t="s">
        <v>22</v>
      </c>
      <c r="B14" s="4">
        <v>2.0</v>
      </c>
      <c r="C14" s="4">
        <v>94.92</v>
      </c>
      <c r="D14" s="4">
        <v>95.0</v>
      </c>
      <c r="E14" s="2">
        <v>96.0</v>
      </c>
      <c r="F14" s="2">
        <v>95.0</v>
      </c>
      <c r="G14" s="6">
        <f>ABS(C14-D14)</f>
        <v>0.08</v>
      </c>
    </row>
    <row r="15">
      <c r="A15" s="3" t="s">
        <v>23</v>
      </c>
      <c r="B15" s="4">
        <v>2.0</v>
      </c>
      <c r="C15" s="4">
        <v>61.52</v>
      </c>
      <c r="D15" s="4">
        <v>89.0</v>
      </c>
      <c r="E15" s="2">
        <v>98.0</v>
      </c>
      <c r="F15" s="2">
        <v>95.0</v>
      </c>
      <c r="H15" s="6">
        <f>ABS(C15-D15)</f>
        <v>27.48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7</v>
      </c>
      <c r="I1" s="1" t="s">
        <v>9</v>
      </c>
    </row>
    <row r="2">
      <c r="A2" s="3" t="s">
        <v>10</v>
      </c>
      <c r="B2" s="4">
        <v>3.0</v>
      </c>
      <c r="C2" s="4">
        <v>59.0</v>
      </c>
      <c r="D2" s="4">
        <v>71.0</v>
      </c>
      <c r="E2" s="2">
        <v>99.0</v>
      </c>
      <c r="F2" s="2">
        <v>96.0</v>
      </c>
      <c r="G2" s="6">
        <f t="shared" ref="G2:G6" si="1">ABS(C2-D2)</f>
        <v>12</v>
      </c>
      <c r="I2" s="7">
        <f t="array" ref="I2">SUMPRODUCT(ABS(G2:G15))/COUNT(G2:G15)</f>
        <v>4.195833333</v>
      </c>
    </row>
    <row r="3">
      <c r="A3" s="3" t="s">
        <v>11</v>
      </c>
      <c r="B3" s="4">
        <v>3.0</v>
      </c>
      <c r="C3" s="4">
        <v>91.0</v>
      </c>
      <c r="D3" s="4">
        <v>77.0</v>
      </c>
      <c r="E3" s="2">
        <v>99.0</v>
      </c>
      <c r="F3" s="2">
        <v>97.0</v>
      </c>
      <c r="G3" s="6">
        <f t="shared" si="1"/>
        <v>14</v>
      </c>
    </row>
    <row r="4">
      <c r="A4" s="3" t="s">
        <v>12</v>
      </c>
      <c r="B4" s="4">
        <v>3.0</v>
      </c>
      <c r="C4" s="4">
        <v>63.0</v>
      </c>
      <c r="D4" s="4">
        <v>66.0</v>
      </c>
      <c r="E4" s="2">
        <v>96.0</v>
      </c>
      <c r="F4" s="2">
        <v>95.0</v>
      </c>
      <c r="G4" s="6">
        <f t="shared" si="1"/>
        <v>3</v>
      </c>
    </row>
    <row r="5">
      <c r="A5" s="3" t="s">
        <v>13</v>
      </c>
      <c r="B5" s="4">
        <v>3.0</v>
      </c>
      <c r="C5" s="4">
        <v>87.0</v>
      </c>
      <c r="D5" s="4">
        <v>87.0</v>
      </c>
      <c r="E5" s="2">
        <v>97.0</v>
      </c>
      <c r="F5" s="2">
        <v>91.0</v>
      </c>
      <c r="G5" s="6">
        <f t="shared" si="1"/>
        <v>0</v>
      </c>
    </row>
    <row r="6">
      <c r="A6" s="3" t="s">
        <v>14</v>
      </c>
      <c r="B6" s="4">
        <v>3.0</v>
      </c>
      <c r="C6" s="4">
        <v>80.0</v>
      </c>
      <c r="D6" s="4">
        <v>78.0</v>
      </c>
      <c r="E6" s="2">
        <v>98.0</v>
      </c>
      <c r="F6" s="2">
        <v>99.0</v>
      </c>
      <c r="G6" s="6">
        <f t="shared" si="1"/>
        <v>2</v>
      </c>
    </row>
    <row r="7">
      <c r="A7" s="3" t="s">
        <v>15</v>
      </c>
      <c r="B7" s="4">
        <v>3.0</v>
      </c>
      <c r="C7" s="4">
        <v>52.0</v>
      </c>
      <c r="D7" s="4">
        <v>90.0</v>
      </c>
      <c r="E7" s="2">
        <v>97.0</v>
      </c>
      <c r="F7" s="2">
        <v>97.0</v>
      </c>
      <c r="H7" s="6">
        <f t="shared" ref="H7:H8" si="2">ABS(C7-D7)</f>
        <v>38</v>
      </c>
    </row>
    <row r="8">
      <c r="A8" s="3" t="s">
        <v>16</v>
      </c>
      <c r="B8" s="4">
        <v>3.0</v>
      </c>
      <c r="C8" s="4">
        <v>70.0</v>
      </c>
      <c r="D8" s="4">
        <v>86.0</v>
      </c>
      <c r="E8" s="2">
        <v>97.0</v>
      </c>
      <c r="F8" s="2">
        <v>96.0</v>
      </c>
      <c r="H8" s="6">
        <f t="shared" si="2"/>
        <v>16</v>
      </c>
    </row>
    <row r="9">
      <c r="A9" s="3" t="s">
        <v>17</v>
      </c>
      <c r="B9" s="4">
        <v>3.0</v>
      </c>
      <c r="C9" s="4">
        <v>73.0</v>
      </c>
      <c r="D9" s="4">
        <v>72.0</v>
      </c>
      <c r="E9" s="2">
        <v>98.0</v>
      </c>
      <c r="F9" s="2">
        <v>97.0</v>
      </c>
      <c r="G9" s="6">
        <f t="shared" ref="G9:G15" si="3">ABS(C9-D9)</f>
        <v>1</v>
      </c>
    </row>
    <row r="10">
      <c r="A10" s="3" t="s">
        <v>18</v>
      </c>
      <c r="B10" s="4">
        <v>3.0</v>
      </c>
      <c r="C10" s="4">
        <v>70.0</v>
      </c>
      <c r="D10" s="4">
        <v>70.0</v>
      </c>
      <c r="E10" s="2">
        <v>98.0</v>
      </c>
      <c r="F10" s="2">
        <v>96.0</v>
      </c>
      <c r="G10" s="6">
        <f t="shared" si="3"/>
        <v>0</v>
      </c>
    </row>
    <row r="11">
      <c r="A11" s="3" t="s">
        <v>19</v>
      </c>
      <c r="B11" s="4">
        <v>3.0</v>
      </c>
      <c r="C11" s="4">
        <v>66.0</v>
      </c>
      <c r="D11" s="4">
        <v>58.0</v>
      </c>
      <c r="E11" s="2">
        <v>98.0</v>
      </c>
      <c r="F11" s="2">
        <v>97.0</v>
      </c>
      <c r="G11" s="6">
        <f t="shared" si="3"/>
        <v>8</v>
      </c>
    </row>
    <row r="12">
      <c r="A12" s="3" t="s">
        <v>20</v>
      </c>
      <c r="B12" s="4">
        <v>3.0</v>
      </c>
      <c r="C12" s="4">
        <v>87.0</v>
      </c>
      <c r="D12" s="4">
        <v>90.0</v>
      </c>
      <c r="E12" s="2">
        <v>97.0</v>
      </c>
      <c r="F12" s="2">
        <v>97.0</v>
      </c>
      <c r="G12" s="6">
        <f t="shared" si="3"/>
        <v>3</v>
      </c>
    </row>
    <row r="13">
      <c r="A13" s="3" t="s">
        <v>21</v>
      </c>
      <c r="B13" s="4">
        <v>3.0</v>
      </c>
      <c r="C13" s="4">
        <v>93.16</v>
      </c>
      <c r="D13" s="4">
        <v>97.0</v>
      </c>
      <c r="E13" s="2">
        <v>97.0</v>
      </c>
      <c r="F13" s="2">
        <v>97.0</v>
      </c>
      <c r="G13" s="6">
        <f t="shared" si="3"/>
        <v>3.84</v>
      </c>
    </row>
    <row r="14">
      <c r="A14" s="3" t="s">
        <v>22</v>
      </c>
      <c r="B14" s="4">
        <v>3.0</v>
      </c>
      <c r="C14" s="4">
        <v>94.92</v>
      </c>
      <c r="D14" s="4">
        <v>94.0</v>
      </c>
      <c r="E14" s="2">
        <v>95.0</v>
      </c>
      <c r="F14" s="2">
        <v>98.0</v>
      </c>
      <c r="G14" s="6">
        <f t="shared" si="3"/>
        <v>0.92</v>
      </c>
    </row>
    <row r="15">
      <c r="A15" s="3" t="s">
        <v>23</v>
      </c>
      <c r="B15" s="4">
        <v>3.0</v>
      </c>
      <c r="C15" s="4">
        <v>91.41</v>
      </c>
      <c r="D15" s="4">
        <v>94.0</v>
      </c>
      <c r="E15" s="2">
        <v>98.0</v>
      </c>
      <c r="F15" s="2">
        <v>98.0</v>
      </c>
      <c r="G15" s="6">
        <f t="shared" si="3"/>
        <v>2.59</v>
      </c>
    </row>
  </sheetData>
  <drawing r:id="rId1"/>
</worksheet>
</file>